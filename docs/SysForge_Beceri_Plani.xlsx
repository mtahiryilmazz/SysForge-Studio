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T\Downloads\files\"/>
    </mc:Choice>
  </mc:AlternateContent>
  <xr:revisionPtr revIDLastSave="0" documentId="13_ncr:1_{40FCC5B6-BBBA-4195-B136-EEE3C066CFED}" xr6:coauthVersionLast="47" xr6:coauthVersionMax="47" xr10:uidLastSave="{00000000-0000-0000-0000-000000000000}"/>
  <bookViews>
    <workbookView xWindow="-120" yWindow="-120" windowWidth="29040" windowHeight="15840" tabRatio="500" activeTab="3" xr2:uid="{00000000-000D-0000-FFFF-FFFF00000000}"/>
  </bookViews>
  <sheets>
    <sheet name="Özet" sheetId="1" r:id="rId1"/>
    <sheet name="Beceriler" sheetId="2" r:id="rId2"/>
    <sheet name="Varsayımlar" sheetId="3" r:id="rId3"/>
    <sheet name="Durum ve İtirazla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1" l="1"/>
  <c r="B8" i="1"/>
  <c r="B9" i="1" s="1"/>
  <c r="B7" i="1"/>
  <c r="B6" i="1"/>
  <c r="B5" i="1"/>
</calcChain>
</file>

<file path=xl/sharedStrings.xml><?xml version="1.0" encoding="utf-8"?>
<sst xmlns="http://schemas.openxmlformats.org/spreadsheetml/2006/main" count="107" uniqueCount="89">
  <si>
    <t>SysForge Studio: Beceri Planı ve Durum Takibi</t>
  </si>
  <si>
    <t>19 Ekim 2026 · Kaynak: using-agent-skills değerlendirmesi</t>
  </si>
  <si>
    <t>Gösterge</t>
  </si>
  <si>
    <t>Adet</t>
  </si>
  <si>
    <t>Beceri: Bitti</t>
  </si>
  <si>
    <t>Beceri: Sürüyor</t>
  </si>
  <si>
    <t>Beceri: Bekliyor</t>
  </si>
  <si>
    <t>Varsayım: Onaylandı</t>
  </si>
  <si>
    <t>Varsayım: Bekliyor veya düzeltilecek</t>
  </si>
  <si>
    <t>İtiraz / risk: Açık</t>
  </si>
  <si>
    <t>Önerilen sıra</t>
  </si>
  <si>
    <t>1) interview-me ile 7 açık kararı kapat.  2) constraint-driven-development ile şartları CONSTRAINTS.md olarak yaz.</t>
  </si>
  <si>
    <t>Nasıl kullanılır</t>
  </si>
  <si>
    <t>Sarı zeminli mavi yazılı hücreler (Durum, Notlar sütunları) sizin düzenlemeniz içindir. Bu sayfadaki adetler otomatik güncellenir.</t>
  </si>
  <si>
    <t>#</t>
  </si>
  <si>
    <t>Beceri</t>
  </si>
  <si>
    <t>Aşama</t>
  </si>
  <si>
    <t>Bu projedeki karşılığı</t>
  </si>
  <si>
    <t>Faz</t>
  </si>
  <si>
    <t>Durum</t>
  </si>
  <si>
    <t>Notlar</t>
  </si>
  <si>
    <t>interview-me</t>
  </si>
  <si>
    <t>Tanımlama</t>
  </si>
  <si>
    <t>Faz 1 belgesindeki 7 açık karar (lisanslama, uzaktan kontrol, agent, SMB1 vb.) varsayımla değil kullanıcıdan öğrenilir.</t>
  </si>
  <si>
    <t>Faz 1</t>
  </si>
  <si>
    <t>Bekliyor</t>
  </si>
  <si>
    <t>constraint-driven-development</t>
  </si>
  <si>
    <t>Win7-11, x86/x64, tek EXE, .NET 4.8 dışında kurulum yok gibi şartlar CONSTRAINTS.md ve CI kontrollerine bağlanır.</t>
  </si>
  <si>
    <t>Faz 0-1</t>
  </si>
  <si>
    <t>security-and-hardening</t>
  </si>
  <si>
    <t>İnceleme</t>
  </si>
  <si>
    <t>license.json ve .db dosyaları, web panelinin dışarıya açık olması, varsayılan şifreler. Yeni panelde tekrarlanmamalı.</t>
  </si>
  <si>
    <t>Faz 0, 4</t>
  </si>
  <si>
    <t>incremental-implementation + test-driven-development</t>
  </si>
  <si>
    <t>Geliştirme / Doğrulama</t>
  </si>
  <si>
    <t>Küçük dilimler: derle, aç, bir servisi taşı, test et. Servislere arayüzden bağımsız testler eklenir.</t>
  </si>
  <si>
    <t>Faz 0-3</t>
  </si>
  <si>
    <t>source-driven-development</t>
  </si>
  <si>
    <t>Geliştirme</t>
  </si>
  <si>
    <t>WPF-UI'ın Win7/8 davranışı için resmi kaynak bulunamadı. Şimdilik tek kanıt sanal makine testi.</t>
  </si>
  <si>
    <t>Faz 0</t>
  </si>
  <si>
    <t>deprecation-and-migration + git-workflow-and-versioning</t>
  </si>
  <si>
    <t>Yayın</t>
  </si>
  <si>
    <t>Modules/ klasörü eşleme doğrulanmadan silinmez (etiketle yedek, geçmiş temizliği ayrı karar).</t>
  </si>
  <si>
    <t>Faz 5</t>
  </si>
  <si>
    <t>ci-cd-and-automation</t>
  </si>
  <si>
    <t>Derleme akışı mevcut. Test ve yayın aşamaları eklenecek.</t>
  </si>
  <si>
    <t>Faz 0-6</t>
  </si>
  <si>
    <t>Sürüyor</t>
  </si>
  <si>
    <t>doubt-driven-development</t>
  </si>
  <si>
    <t>İki yüksek riskli karar için: git geçmişini yeniden yazmak (force-push) ve .NET Framework'e geçiş.</t>
  </si>
  <si>
    <t>Faz 0, 5</t>
  </si>
  <si>
    <t>Varsayım</t>
  </si>
  <si>
    <t>Not / düzeltme</t>
  </si>
  <si>
    <t>"Tek parça" derken tek EXE kastediliyor. Web paneli uygulama içine gömülü, çalışma zamanında Python veya PowerShell bağımlılığı yok.</t>
  </si>
  <si>
    <t>Win7/8'de .NET 4.8'in bir kez kurulması kabul edildi (kullanıcı onayladı).</t>
  </si>
  <si>
    <t>Onaylandı</t>
  </si>
  <si>
    <t>Kullanıcı onayı: Faz 0 planı</t>
  </si>
  <si>
    <t>Yeni sürüm tek makinede çalışan teknisyen aracı. Çok makineli merkezi yönetim (agent, uzaktan kontrol) şimdilik kapsam dışı.</t>
  </si>
  <si>
    <t>Başlık</t>
  </si>
  <si>
    <t>Açıklama</t>
  </si>
  <si>
    <t>Önerilen aksiyon</t>
  </si>
  <si>
    <t>Faz 0 yaması derlenmedi ve çalıştırılmadı</t>
  </si>
  <si>
    <t>"Tamamlandı" denemez. Kanıt: CI'ın yeşil olması ve 4 VM raporu.</t>
  </si>
  <si>
    <t>CI çıktısını ve Win7 SP1 x86, Win8.1 x64, Win10 x64, Win11 x64 raporlarını toplamak.</t>
  </si>
  <si>
    <t>Açık</t>
  </si>
  <si>
    <t>Kapsam kayması</t>
  </si>
  <si>
    <t>Yamaya denemeyle ilgisiz değişiklikler girdi (.wsb, Run_SysForgeStudio.bat, .gitignore) ve normal başlangıç akışı değişti (StartupUri kaldırıldı).</t>
  </si>
  <si>
    <t>Yamayı ikiye bölmek: (1) net48 + deneme, (2) depo hijyeni.</t>
  </si>
  <si>
    <t>Çözüldü</t>
  </si>
  <si>
    <t>Faz 1 eşlemesi isim düzeyinde</t>
  </si>
  <si>
    <t>"✓" davranış eşdeğerliği anlamına gelmiyor.</t>
  </si>
  <si>
    <t>Silmeden önce işlev bazlı davranış doğrulaması yapmak.</t>
  </si>
  <si>
    <t>Win7/8 destek maliyeti</t>
  </si>
  <si>
    <t>Win7 desteği 2020'de, Win8.1 desteği Ocak 2023'te bitti. net48 kararı ve test matrisi maliyet getiriyor.</t>
  </si>
  <si>
    <t>Bu makinelerin sayısını ölçmek. Karar kullanıcı tarafından verildi.</t>
  </si>
  <si>
    <t>net48 derleme engelleyici bulundu</t>
  </si>
  <si>
    <t>ToolkitEngine'de TcpClient.ConnectAsync(host, port, CancellationToken) .NET Framework 4.8'de yok (2 yer). Statik taramada bulundu, derleme ile doğrulanmadı.</t>
  </si>
  <si>
    <t>Task.Wait zaman aşımı ile değiştirildi. CI derlemesi ile doğrulanacak.</t>
  </si>
  <si>
    <t>net 4.8 varsayılan varsa sorun yok, yoksa öncelik winget ile kurulum</t>
  </si>
  <si>
    <t>sana bırakıyorum</t>
  </si>
  <si>
    <t>Kullanıcı yönetimi ve şifre yönetimi admin hesabı görmeli ve yönetmeli şifreler sızmamalı gerekirse 2FA uygula</t>
  </si>
  <si>
    <t>aynı şekilde devam et</t>
  </si>
  <si>
    <t>tamam o şekilde yapalım</t>
  </si>
  <si>
    <t>program işleyişini bozmayacak şekilde kararlı sürüm haline getirmeye odaklan modül benzerlerini farklı dillerle oluşturabilirsin</t>
  </si>
  <si>
    <t>OK</t>
  </si>
  <si>
    <t>yapalım</t>
  </si>
  <si>
    <t>yani olması gereken bu değil mi tüm işlevleri tek program ile halletme, içinde modüller ekleyebilirsin</t>
  </si>
  <si>
    <t>uzaktan destek ihtiyaç duyduğumuz bir özellik, kullanıcının bilgisayarına doğrudan bağlanıp ekran mouse kontrolü ile işleri düzenlemek ama sonrasına ertelenebilir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</si>
</sst>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Normal="100" workbookViewId="0"/>
  </sheetViews>
  <sheetFormatPr defaultColWidth="8.7109375" defaultRowHeight="15" x14ac:dyDescent="0.25"/>
  <cols>
    <col min="1" max="1" width="42" customWidth="1"/>
    <col min="2" max="2" width="10" customWidth="1"/>
  </cols>
  <sheetData>
    <row r="1" spans="1:2" ht="17.25" customHeight="1" x14ac:dyDescent="0.25">
      <c r="A1" s="1" t="s">
        <v>0</v>
      </c>
    </row>
    <row r="2" spans="1:2" ht="15" customHeight="1" x14ac:dyDescent="0.25">
      <c r="A2" s="2" t="s">
        <v>1</v>
      </c>
    </row>
    <row r="4" spans="1:2" ht="15" customHeight="1" x14ac:dyDescent="0.25">
      <c r="A4" s="3" t="s">
        <v>2</v>
      </c>
      <c r="B4" s="3" t="s">
        <v>3</v>
      </c>
    </row>
    <row r="5" spans="1:2" ht="15" customHeight="1" x14ac:dyDescent="0.25">
      <c r="A5" s="4" t="s">
        <v>4</v>
      </c>
      <c r="B5" s="4">
        <f>COUNTIF(Beceriler!F2:F9,"Bitti")</f>
        <v>0</v>
      </c>
    </row>
    <row r="6" spans="1:2" ht="15" customHeight="1" x14ac:dyDescent="0.25">
      <c r="A6" s="4" t="s">
        <v>5</v>
      </c>
      <c r="B6" s="4">
        <f>COUNTIF(Beceriler!F2:F9,"Sürüyor")</f>
        <v>1</v>
      </c>
    </row>
    <row r="7" spans="1:2" ht="15" customHeight="1" x14ac:dyDescent="0.25">
      <c r="A7" s="4" t="s">
        <v>6</v>
      </c>
      <c r="B7" s="4">
        <f>COUNTIF(Beceriler!F2:F9,"Bekliyor")</f>
        <v>7</v>
      </c>
    </row>
    <row r="8" spans="1:2" ht="15" customHeight="1" x14ac:dyDescent="0.25">
      <c r="A8" s="4" t="s">
        <v>7</v>
      </c>
      <c r="B8" s="4">
        <f>COUNTIF(Varsayımlar!C2:C4,"Onaylandı")</f>
        <v>1</v>
      </c>
    </row>
    <row r="9" spans="1:2" ht="15" customHeight="1" x14ac:dyDescent="0.25">
      <c r="A9" s="4" t="s">
        <v>8</v>
      </c>
      <c r="B9" s="4">
        <f>COUNTA(Varsayımlar!C2:C4)-B8</f>
        <v>2</v>
      </c>
    </row>
    <row r="10" spans="1:2" ht="15" customHeight="1" x14ac:dyDescent="0.25">
      <c r="A10" s="4" t="s">
        <v>9</v>
      </c>
      <c r="B10" s="4">
        <f>COUNTIF('Durum ve İtirazlar'!E2:E6,"Açık")</f>
        <v>3</v>
      </c>
    </row>
    <row r="12" spans="1:2" ht="15" customHeight="1" x14ac:dyDescent="0.25">
      <c r="A12" s="5" t="s">
        <v>10</v>
      </c>
    </row>
    <row r="13" spans="1:2" ht="15" customHeight="1" x14ac:dyDescent="0.25">
      <c r="A13" s="6" t="s">
        <v>11</v>
      </c>
    </row>
    <row r="15" spans="1:2" ht="15" customHeight="1" x14ac:dyDescent="0.25">
      <c r="A15" s="5" t="s">
        <v>12</v>
      </c>
    </row>
    <row r="16" spans="1:2" ht="15" customHeight="1" x14ac:dyDescent="0.25">
      <c r="A16" s="6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zoomScaleNormal="100" workbookViewId="0">
      <pane ySplit="1" topLeftCell="A2" activePane="bottomLeft" state="frozen"/>
      <selection pane="bottomLeft" activeCell="G9" sqref="G9"/>
    </sheetView>
  </sheetViews>
  <sheetFormatPr defaultColWidth="8.7109375" defaultRowHeight="36.75" customHeight="1" x14ac:dyDescent="0.25"/>
  <cols>
    <col min="1" max="1" width="5" customWidth="1"/>
    <col min="2" max="2" width="34" customWidth="1"/>
    <col min="3" max="3" width="20" customWidth="1"/>
    <col min="4" max="4" width="70" customWidth="1"/>
    <col min="5" max="5" width="11" customWidth="1"/>
    <col min="6" max="6" width="12" customWidth="1"/>
    <col min="7" max="7" width="30" customWidth="1"/>
  </cols>
  <sheetData>
    <row r="1" spans="1:7" ht="36.75" customHeight="1" x14ac:dyDescent="0.25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</row>
    <row r="2" spans="1:7" ht="36.75" customHeight="1" x14ac:dyDescent="0.25">
      <c r="A2" s="8">
        <v>1</v>
      </c>
      <c r="B2" s="8" t="s">
        <v>21</v>
      </c>
      <c r="C2" s="8" t="s">
        <v>22</v>
      </c>
      <c r="D2" s="8" t="s">
        <v>23</v>
      </c>
      <c r="E2" s="8" t="s">
        <v>24</v>
      </c>
      <c r="F2" s="9" t="s">
        <v>25</v>
      </c>
      <c r="G2" s="9" t="s">
        <v>80</v>
      </c>
    </row>
    <row r="3" spans="1:7" ht="36.75" customHeight="1" x14ac:dyDescent="0.25">
      <c r="A3" s="8">
        <v>2</v>
      </c>
      <c r="B3" s="8" t="s">
        <v>26</v>
      </c>
      <c r="C3" s="8" t="s">
        <v>22</v>
      </c>
      <c r="D3" s="8" t="s">
        <v>27</v>
      </c>
      <c r="E3" s="8" t="s">
        <v>28</v>
      </c>
      <c r="F3" s="9" t="s">
        <v>25</v>
      </c>
      <c r="G3" s="9" t="s">
        <v>79</v>
      </c>
    </row>
    <row r="4" spans="1:7" ht="36.75" customHeight="1" x14ac:dyDescent="0.25">
      <c r="A4" s="8">
        <v>3</v>
      </c>
      <c r="B4" s="8" t="s">
        <v>29</v>
      </c>
      <c r="C4" s="8" t="s">
        <v>30</v>
      </c>
      <c r="D4" s="8" t="s">
        <v>31</v>
      </c>
      <c r="E4" s="8" t="s">
        <v>32</v>
      </c>
      <c r="F4" s="9" t="s">
        <v>25</v>
      </c>
      <c r="G4" s="9" t="s">
        <v>81</v>
      </c>
    </row>
    <row r="5" spans="1:7" ht="36.75" customHeight="1" x14ac:dyDescent="0.25">
      <c r="A5" s="8">
        <v>4</v>
      </c>
      <c r="B5" s="8" t="s">
        <v>33</v>
      </c>
      <c r="C5" s="8" t="s">
        <v>34</v>
      </c>
      <c r="D5" s="8" t="s">
        <v>35</v>
      </c>
      <c r="E5" s="8" t="s">
        <v>36</v>
      </c>
      <c r="F5" s="9" t="s">
        <v>25</v>
      </c>
      <c r="G5" s="9" t="s">
        <v>82</v>
      </c>
    </row>
    <row r="6" spans="1:7" ht="36.75" customHeight="1" x14ac:dyDescent="0.25">
      <c r="A6" s="8">
        <v>5</v>
      </c>
      <c r="B6" s="8" t="s">
        <v>37</v>
      </c>
      <c r="C6" s="8" t="s">
        <v>38</v>
      </c>
      <c r="D6" s="8" t="s">
        <v>39</v>
      </c>
      <c r="E6" s="8" t="s">
        <v>40</v>
      </c>
      <c r="F6" s="9" t="s">
        <v>25</v>
      </c>
      <c r="G6" s="9" t="s">
        <v>83</v>
      </c>
    </row>
    <row r="7" spans="1:7" ht="36.75" customHeight="1" x14ac:dyDescent="0.25">
      <c r="A7" s="8">
        <v>6</v>
      </c>
      <c r="B7" s="8" t="s">
        <v>41</v>
      </c>
      <c r="C7" s="8" t="s">
        <v>42</v>
      </c>
      <c r="D7" s="8" t="s">
        <v>43</v>
      </c>
      <c r="E7" s="8" t="s">
        <v>44</v>
      </c>
      <c r="F7" s="9" t="s">
        <v>25</v>
      </c>
      <c r="G7" s="9" t="s">
        <v>84</v>
      </c>
    </row>
    <row r="8" spans="1:7" ht="36.75" customHeight="1" x14ac:dyDescent="0.25">
      <c r="A8" s="8">
        <v>7</v>
      </c>
      <c r="B8" s="8" t="s">
        <v>45</v>
      </c>
      <c r="C8" s="8" t="s">
        <v>42</v>
      </c>
      <c r="D8" s="8" t="s">
        <v>46</v>
      </c>
      <c r="E8" s="8" t="s">
        <v>47</v>
      </c>
      <c r="F8" s="9" t="s">
        <v>48</v>
      </c>
      <c r="G8" s="9" t="s">
        <v>85</v>
      </c>
    </row>
    <row r="9" spans="1:7" ht="36.75" customHeight="1" x14ac:dyDescent="0.25">
      <c r="A9" s="8">
        <v>8</v>
      </c>
      <c r="B9" s="8" t="s">
        <v>49</v>
      </c>
      <c r="C9" s="8" t="s">
        <v>38</v>
      </c>
      <c r="D9" s="8" t="s">
        <v>50</v>
      </c>
      <c r="E9" s="8" t="s">
        <v>51</v>
      </c>
      <c r="F9" s="9" t="s">
        <v>25</v>
      </c>
      <c r="G9" s="9" t="s">
        <v>86</v>
      </c>
    </row>
  </sheetData>
  <dataValidations count="1">
    <dataValidation type="list" sqref="F2:F9" xr:uid="{00000000-0002-0000-0100-000000000000}">
      <formula1>"Bekliyor,Sürüyor,Bitti"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Normal="100" workbookViewId="0">
      <pane ySplit="1" topLeftCell="A2" activePane="bottomLeft" state="frozen"/>
      <selection pane="bottomLeft" activeCell="D5" sqref="D5"/>
    </sheetView>
  </sheetViews>
  <sheetFormatPr defaultColWidth="8.7109375" defaultRowHeight="15" x14ac:dyDescent="0.25"/>
  <cols>
    <col min="1" max="1" width="5" customWidth="1"/>
    <col min="2" max="2" width="95" customWidth="1"/>
    <col min="3" max="3" width="14" customWidth="1"/>
    <col min="4" max="4" width="40" customWidth="1"/>
  </cols>
  <sheetData>
    <row r="1" spans="1:4" ht="24" customHeight="1" x14ac:dyDescent="0.25">
      <c r="A1" s="7" t="s">
        <v>14</v>
      </c>
      <c r="B1" s="7" t="s">
        <v>52</v>
      </c>
      <c r="C1" s="7" t="s">
        <v>19</v>
      </c>
      <c r="D1" s="7" t="s">
        <v>53</v>
      </c>
    </row>
    <row r="2" spans="1:4" ht="23.25" customHeight="1" x14ac:dyDescent="0.25">
      <c r="A2" s="8">
        <v>1</v>
      </c>
      <c r="B2" s="8" t="s">
        <v>54</v>
      </c>
      <c r="C2" s="9" t="s">
        <v>25</v>
      </c>
      <c r="D2" s="9" t="s">
        <v>87</v>
      </c>
    </row>
    <row r="3" spans="1:4" ht="15" customHeight="1" x14ac:dyDescent="0.25">
      <c r="A3" s="8">
        <v>2</v>
      </c>
      <c r="B3" s="8" t="s">
        <v>55</v>
      </c>
      <c r="C3" s="9" t="s">
        <v>56</v>
      </c>
      <c r="D3" s="9" t="s">
        <v>57</v>
      </c>
    </row>
    <row r="4" spans="1:4" ht="23.25" customHeight="1" x14ac:dyDescent="0.25">
      <c r="A4" s="8">
        <v>3</v>
      </c>
      <c r="B4" s="8" t="s">
        <v>58</v>
      </c>
      <c r="C4" s="9" t="s">
        <v>25</v>
      </c>
      <c r="D4" s="9" t="s">
        <v>88</v>
      </c>
    </row>
  </sheetData>
  <dataValidations count="1">
    <dataValidation type="list" sqref="C2:C4" xr:uid="{00000000-0002-0000-0200-000000000000}">
      <formula1>"Bekliyor,Onaylandı,Düzeltilecek"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34" customWidth="1"/>
    <col min="3" max="3" width="70" customWidth="1"/>
    <col min="4" max="4" width="55" customWidth="1"/>
    <col min="5" max="5" width="12" customWidth="1"/>
  </cols>
  <sheetData>
    <row r="1" spans="1:5" ht="24" customHeight="1" x14ac:dyDescent="0.25">
      <c r="A1" s="7" t="s">
        <v>14</v>
      </c>
      <c r="B1" s="7" t="s">
        <v>59</v>
      </c>
      <c r="C1" s="7" t="s">
        <v>60</v>
      </c>
      <c r="D1" s="7" t="s">
        <v>61</v>
      </c>
      <c r="E1" s="7" t="s">
        <v>19</v>
      </c>
    </row>
    <row r="2" spans="1:5" ht="23.25" customHeight="1" x14ac:dyDescent="0.25">
      <c r="A2" s="8">
        <v>1</v>
      </c>
      <c r="B2" s="8" t="s">
        <v>62</v>
      </c>
      <c r="C2" s="8" t="s">
        <v>63</v>
      </c>
      <c r="D2" s="8" t="s">
        <v>64</v>
      </c>
      <c r="E2" s="9" t="s">
        <v>65</v>
      </c>
    </row>
    <row r="3" spans="1:5" ht="34.5" customHeight="1" x14ac:dyDescent="0.25">
      <c r="A3" s="8">
        <v>2</v>
      </c>
      <c r="B3" s="8" t="s">
        <v>66</v>
      </c>
      <c r="C3" s="8" t="s">
        <v>67</v>
      </c>
      <c r="D3" s="8" t="s">
        <v>68</v>
      </c>
      <c r="E3" s="9" t="s">
        <v>69</v>
      </c>
    </row>
    <row r="4" spans="1:5" ht="15" customHeight="1" x14ac:dyDescent="0.25">
      <c r="A4" s="8">
        <v>3</v>
      </c>
      <c r="B4" s="8" t="s">
        <v>70</v>
      </c>
      <c r="C4" s="8" t="s">
        <v>71</v>
      </c>
      <c r="D4" s="8" t="s">
        <v>72</v>
      </c>
      <c r="E4" s="9" t="s">
        <v>65</v>
      </c>
    </row>
    <row r="5" spans="1:5" ht="23.25" customHeight="1" x14ac:dyDescent="0.25">
      <c r="A5" s="8">
        <v>4</v>
      </c>
      <c r="B5" s="8" t="s">
        <v>73</v>
      </c>
      <c r="C5" s="8" t="s">
        <v>74</v>
      </c>
      <c r="D5" s="8" t="s">
        <v>75</v>
      </c>
      <c r="E5" s="9" t="s">
        <v>65</v>
      </c>
    </row>
    <row r="6" spans="1:5" ht="38.25" x14ac:dyDescent="0.25">
      <c r="A6" s="8">
        <v>5</v>
      </c>
      <c r="B6" s="8" t="s">
        <v>76</v>
      </c>
      <c r="C6" s="8" t="s">
        <v>77</v>
      </c>
      <c r="D6" s="8" t="s">
        <v>78</v>
      </c>
      <c r="E6" s="9" t="s">
        <v>69</v>
      </c>
    </row>
  </sheetData>
  <dataValidations count="1">
    <dataValidation type="list" sqref="E2:E6" xr:uid="{00000000-0002-0000-0300-000000000000}">
      <formula1>"Açık,Çözüldü,Kabul edildi"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Özet</vt:lpstr>
      <vt:lpstr>Beceriler</vt:lpstr>
      <vt:lpstr>Varsayımlar</vt:lpstr>
      <vt:lpstr>Durum ve İtirazlar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BT</cp:lastModifiedBy>
  <cp:revision>0</cp:revision>
  <dcterms:created xsi:type="dcterms:W3CDTF">2026-10-19T04:28:51Z</dcterms:created>
  <dcterms:modified xsi:type="dcterms:W3CDTF">2026-10-19T05:54:21Z</dcterms:modified>
  <dc:language>en-US</dc:language>
</cp:coreProperties>
</file>